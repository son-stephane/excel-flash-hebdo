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" sheetId="1" state="visible" r:id="rId1"/>
    <sheet xmlns:r="http://schemas.openxmlformats.org/officeDocument/2006/relationships" name="SYNTHESE" sheetId="2" state="visible" r:id="rId2"/>
    <sheet xmlns:r="http://schemas.openxmlformats.org/officeDocument/2006/relationships" name="GRAPHI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"/>
    <numFmt numFmtId="165" formatCode="# ##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Montant total par mois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'SYNTHESE'!B1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'SYNTHESE'!$A$2:$A$13</f>
            </numRef>
          </cat>
          <val>
            <numRef>
              <f>'SYNTHESE'!$B$2:$B$13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donnees" displayName="tbl_donnees" ref="A1:J2" headerRowCount="1">
  <autoFilter ref="A1:J2"/>
  <tableColumns count="10">
    <tableColumn id="1" name="semaine_publication"/>
    <tableColumn id="2" name="mois"/>
    <tableColumn id="3" name="perimetre"/>
    <tableColumn id="4" name="entite"/>
    <tableColumn id="5" name="categorie"/>
    <tableColumn id="6" name="statut"/>
    <tableColumn id="7" name="nb_operations"/>
    <tableColumn id="8" name="montant_total"/>
    <tableColumn id="9" name="montant_moyen"/>
    <tableColumn id="10" name="quantite_total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7" customWidth="1" min="10" max="10"/>
  </cols>
  <sheetData>
    <row r="1">
      <c r="A1" s="1" t="inlineStr">
        <is>
          <t>semaine_publication</t>
        </is>
      </c>
      <c r="B1" s="1" t="inlineStr">
        <is>
          <t>mois</t>
        </is>
      </c>
      <c r="C1" s="1" t="inlineStr">
        <is>
          <t>perimetre</t>
        </is>
      </c>
      <c r="D1" s="1" t="inlineStr">
        <is>
          <t>entite</t>
        </is>
      </c>
      <c r="E1" s="1" t="inlineStr">
        <is>
          <t>categorie</t>
        </is>
      </c>
      <c r="F1" s="1" t="inlineStr">
        <is>
          <t>statut</t>
        </is>
      </c>
      <c r="G1" s="1" t="inlineStr">
        <is>
          <t>nb_operations</t>
        </is>
      </c>
      <c r="H1" s="1" t="inlineStr">
        <is>
          <t>montant_total</t>
        </is>
      </c>
      <c r="I1" s="1" t="inlineStr">
        <is>
          <t>montant_moyen</t>
        </is>
      </c>
      <c r="J1" s="1" t="inlineStr">
        <is>
          <t>quantite_totale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</cols>
  <sheetData>
    <row r="1">
      <c r="A1" s="2" t="inlineStr">
        <is>
          <t>mois</t>
        </is>
      </c>
      <c r="B1" s="2" t="inlineStr">
        <is>
          <t>montant total</t>
        </is>
      </c>
      <c r="C1" s="2" t="inlineStr">
        <is>
          <t>operations</t>
        </is>
      </c>
    </row>
    <row r="2">
      <c r="A2" s="3">
        <f>IFERROR(EOMONTH(MAX(tbl_donnees[mois]),-11)+1,"")</f>
        <v/>
      </c>
      <c r="B2" s="4">
        <f>SUMIFS(tbl_donnees[montant_total],tbl_donnees[mois],"&gt;="&amp;A2,tbl_donnees[mois],"&lt;"&amp;EOMONTH(A2,0)+1)</f>
        <v/>
      </c>
      <c r="C2" s="4">
        <f>SUMIFS(tbl_donnees[nb_operations],tbl_donnees[mois],"&gt;="&amp;A2,tbl_donnees[mois],"&lt;"&amp;EOMONTH(A2,0)+1)</f>
        <v/>
      </c>
    </row>
    <row r="3">
      <c r="A3" s="3">
        <f>IFERROR(EOMONTH(MAX(tbl_donnees[mois]),-10)+1,"")</f>
        <v/>
      </c>
      <c r="B3" s="4">
        <f>SUMIFS(tbl_donnees[montant_total],tbl_donnees[mois],"&gt;="&amp;A3,tbl_donnees[mois],"&lt;"&amp;EOMONTH(A3,0)+1)</f>
        <v/>
      </c>
      <c r="C3" s="4">
        <f>SUMIFS(tbl_donnees[nb_operations],tbl_donnees[mois],"&gt;="&amp;A3,tbl_donnees[mois],"&lt;"&amp;EOMONTH(A3,0)+1)</f>
        <v/>
      </c>
    </row>
    <row r="4">
      <c r="A4" s="3">
        <f>IFERROR(EOMONTH(MAX(tbl_donnees[mois]),-9)+1,"")</f>
        <v/>
      </c>
      <c r="B4" s="4">
        <f>SUMIFS(tbl_donnees[montant_total],tbl_donnees[mois],"&gt;="&amp;A4,tbl_donnees[mois],"&lt;"&amp;EOMONTH(A4,0)+1)</f>
        <v/>
      </c>
      <c r="C4" s="4">
        <f>SUMIFS(tbl_donnees[nb_operations],tbl_donnees[mois],"&gt;="&amp;A4,tbl_donnees[mois],"&lt;"&amp;EOMONTH(A4,0)+1)</f>
        <v/>
      </c>
    </row>
    <row r="5">
      <c r="A5" s="3">
        <f>IFERROR(EOMONTH(MAX(tbl_donnees[mois]),-8)+1,"")</f>
        <v/>
      </c>
      <c r="B5" s="4">
        <f>SUMIFS(tbl_donnees[montant_total],tbl_donnees[mois],"&gt;="&amp;A5,tbl_donnees[mois],"&lt;"&amp;EOMONTH(A5,0)+1)</f>
        <v/>
      </c>
      <c r="C5" s="4">
        <f>SUMIFS(tbl_donnees[nb_operations],tbl_donnees[mois],"&gt;="&amp;A5,tbl_donnees[mois],"&lt;"&amp;EOMONTH(A5,0)+1)</f>
        <v/>
      </c>
    </row>
    <row r="6">
      <c r="A6" s="3">
        <f>IFERROR(EOMONTH(MAX(tbl_donnees[mois]),-7)+1,"")</f>
        <v/>
      </c>
      <c r="B6" s="4">
        <f>SUMIFS(tbl_donnees[montant_total],tbl_donnees[mois],"&gt;="&amp;A6,tbl_donnees[mois],"&lt;"&amp;EOMONTH(A6,0)+1)</f>
        <v/>
      </c>
      <c r="C6" s="4">
        <f>SUMIFS(tbl_donnees[nb_operations],tbl_donnees[mois],"&gt;="&amp;A6,tbl_donnees[mois],"&lt;"&amp;EOMONTH(A6,0)+1)</f>
        <v/>
      </c>
    </row>
    <row r="7">
      <c r="A7" s="3">
        <f>IFERROR(EOMONTH(MAX(tbl_donnees[mois]),-6)+1,"")</f>
        <v/>
      </c>
      <c r="B7" s="4">
        <f>SUMIFS(tbl_donnees[montant_total],tbl_donnees[mois],"&gt;="&amp;A7,tbl_donnees[mois],"&lt;"&amp;EOMONTH(A7,0)+1)</f>
        <v/>
      </c>
      <c r="C7" s="4">
        <f>SUMIFS(tbl_donnees[nb_operations],tbl_donnees[mois],"&gt;="&amp;A7,tbl_donnees[mois],"&lt;"&amp;EOMONTH(A7,0)+1)</f>
        <v/>
      </c>
    </row>
    <row r="8">
      <c r="A8" s="3">
        <f>IFERROR(EOMONTH(MAX(tbl_donnees[mois]),-5)+1,"")</f>
        <v/>
      </c>
      <c r="B8" s="4">
        <f>SUMIFS(tbl_donnees[montant_total],tbl_donnees[mois],"&gt;="&amp;A8,tbl_donnees[mois],"&lt;"&amp;EOMONTH(A8,0)+1)</f>
        <v/>
      </c>
      <c r="C8" s="4">
        <f>SUMIFS(tbl_donnees[nb_operations],tbl_donnees[mois],"&gt;="&amp;A8,tbl_donnees[mois],"&lt;"&amp;EOMONTH(A8,0)+1)</f>
        <v/>
      </c>
    </row>
    <row r="9">
      <c r="A9" s="3">
        <f>IFERROR(EOMONTH(MAX(tbl_donnees[mois]),-4)+1,"")</f>
        <v/>
      </c>
      <c r="B9" s="4">
        <f>SUMIFS(tbl_donnees[montant_total],tbl_donnees[mois],"&gt;="&amp;A9,tbl_donnees[mois],"&lt;"&amp;EOMONTH(A9,0)+1)</f>
        <v/>
      </c>
      <c r="C9" s="4">
        <f>SUMIFS(tbl_donnees[nb_operations],tbl_donnees[mois],"&gt;="&amp;A9,tbl_donnees[mois],"&lt;"&amp;EOMONTH(A9,0)+1)</f>
        <v/>
      </c>
    </row>
    <row r="10">
      <c r="A10" s="3">
        <f>IFERROR(EOMONTH(MAX(tbl_donnees[mois]),-3)+1,"")</f>
        <v/>
      </c>
      <c r="B10" s="4">
        <f>SUMIFS(tbl_donnees[montant_total],tbl_donnees[mois],"&gt;="&amp;A10,tbl_donnees[mois],"&lt;"&amp;EOMONTH(A10,0)+1)</f>
        <v/>
      </c>
      <c r="C10" s="4">
        <f>SUMIFS(tbl_donnees[nb_operations],tbl_donnees[mois],"&gt;="&amp;A10,tbl_donnees[mois],"&lt;"&amp;EOMONTH(A10,0)+1)</f>
        <v/>
      </c>
    </row>
    <row r="11">
      <c r="A11" s="3">
        <f>IFERROR(EOMONTH(MAX(tbl_donnees[mois]),-2)+1,"")</f>
        <v/>
      </c>
      <c r="B11" s="4">
        <f>SUMIFS(tbl_donnees[montant_total],tbl_donnees[mois],"&gt;="&amp;A11,tbl_donnees[mois],"&lt;"&amp;EOMONTH(A11,0)+1)</f>
        <v/>
      </c>
      <c r="C11" s="4">
        <f>SUMIFS(tbl_donnees[nb_operations],tbl_donnees[mois],"&gt;="&amp;A11,tbl_donnees[mois],"&lt;"&amp;EOMONTH(A11,0)+1)</f>
        <v/>
      </c>
    </row>
    <row r="12">
      <c r="A12" s="3">
        <f>IFERROR(EOMONTH(MAX(tbl_donnees[mois]),-1)+1,"")</f>
        <v/>
      </c>
      <c r="B12" s="4">
        <f>SUMIFS(tbl_donnees[montant_total],tbl_donnees[mois],"&gt;="&amp;A12,tbl_donnees[mois],"&lt;"&amp;EOMONTH(A12,0)+1)</f>
        <v/>
      </c>
      <c r="C12" s="4">
        <f>SUMIFS(tbl_donnees[nb_operations],tbl_donnees[mois],"&gt;="&amp;A12,tbl_donnees[mois],"&lt;"&amp;EOMONTH(A12,0)+1)</f>
        <v/>
      </c>
    </row>
    <row r="13">
      <c r="A13" s="3">
        <f>IFERROR(EOMONTH(MAX(tbl_donnees[mois]),0)+1,"")</f>
        <v/>
      </c>
      <c r="B13" s="4">
        <f>SUMIFS(tbl_donnees[montant_total],tbl_donnees[mois],"&gt;="&amp;A13,tbl_donnees[mois],"&lt;"&amp;EOMONTH(A13,0)+1)</f>
        <v/>
      </c>
      <c r="C13" s="4">
        <f>SUMIFS(tbl_donnees[nb_operations],tbl_donnees[mois],"&gt;="&amp;A13,tbl_donnees[mois],"&lt;"&amp;EOMONTH(A13,0)+1)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Graphiques du flash hebdomadaire</t>
        </is>
      </c>
    </row>
    <row r="2">
      <c r="A2" s="6" t="inlineStr">
        <is>
          <t>Les graphiques de cet onglet sont exportes en PNG par `flash classeur`. Ajouter ici les TCD et graphiques voulus, branches sur le tableau tbl_donnees de l'onglet DONNEES.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2026-09-11T10:29:41Z</dcterms:created>
  <dcterms:modified xmlns:dcterms="http://purl.org/dc/terms/" xmlns:xsi="http://www.w3.org/2001/XMLSchema-instance" xsi:type="dcterms:W3CDTF">2026-09-11T10:29:41Z</dcterms:modified>
</cp:coreProperties>
</file>